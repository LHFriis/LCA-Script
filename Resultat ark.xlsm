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hf\Desktop\LCA Script\"/>
    </mc:Choice>
  </mc:AlternateContent>
  <xr:revisionPtr revIDLastSave="0" documentId="13_ncr:1_{F5E54523-03EE-4981-83B4-C916662EAE36}" xr6:coauthVersionLast="47" xr6:coauthVersionMax="47" xr10:uidLastSave="{00000000-0000-0000-0000-000000000000}"/>
  <bookViews>
    <workbookView xWindow="13365" yWindow="0" windowWidth="15435" windowHeight="17400" xr2:uid="{00000000-000D-0000-FFFF-FFFF00000000}"/>
  </bookViews>
  <sheets>
    <sheet name="Sammenligning" sheetId="1" r:id="rId1"/>
    <sheet name="Yder- &amp; Indervægge" sheetId="2" r:id="rId2"/>
    <sheet name="Tag" sheetId="3" r:id="rId3"/>
    <sheet name="Dæk" sheetId="4" r:id="rId4"/>
    <sheet name="Terrændæk" sheetId="5" r:id="rId5"/>
    <sheet name="Fundament" sheetId="6" r:id="rId6"/>
    <sheet name="Vinduer, Døre, Glasfacader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" i="1" l="1"/>
  <c r="A30" i="1"/>
  <c r="E42" i="1" a="1"/>
  <c r="E42" i="1" s="1"/>
  <c r="D42" i="1" a="1"/>
  <c r="D42" i="1" s="1"/>
  <c r="N3" i="1" a="1"/>
  <c r="N3" i="1" s="1"/>
  <c r="M3" i="1" a="1"/>
  <c r="M3" i="1" s="1"/>
  <c r="E3" i="1" a="1"/>
  <c r="E3" i="1" s="1"/>
  <c r="D3" i="1" a="1"/>
  <c r="D3" i="1" s="1"/>
  <c r="N41" i="1" a="1"/>
  <c r="N41" i="1" s="1"/>
  <c r="N22" i="1" a="1"/>
  <c r="N22" i="1" s="1"/>
  <c r="E22" i="1" a="1"/>
  <c r="E22" i="1" s="1"/>
  <c r="D22" i="1" a="1"/>
  <c r="D22" i="1" s="1"/>
  <c r="M22" i="1" a="1"/>
  <c r="M22" i="1" s="1"/>
  <c r="M41" i="1" a="1"/>
  <c r="M4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<sst xmlns="http://schemas.openxmlformats.org/spreadsheetml/2006/main" count="50" uniqueCount="28">
  <si>
    <t>Bygningsdel</t>
  </si>
  <si>
    <t>22 / Gen. / Træ / Ikke Bærende / Gips 2 Lags</t>
  </si>
  <si>
    <t>GWP Total</t>
  </si>
  <si>
    <t>27 / Gen. / Præfab. Gitterspær / Tagpap, Nedhængt</t>
  </si>
  <si>
    <t>12 / Gen. / Beton / Linjefundament, 1-5 etager</t>
  </si>
  <si>
    <t>32 / Gen. / Indvendig / Dør, træ</t>
  </si>
  <si>
    <t>32 / Gen. / Indvendig / Glasdør, træ</t>
  </si>
  <si>
    <t>Brutto Areal</t>
  </si>
  <si>
    <t>Areal</t>
  </si>
  <si>
    <t>Stk / meter</t>
  </si>
  <si>
    <t>Stk / Areal</t>
  </si>
  <si>
    <t>31 / Gen. / Udvendig / Dør, alu</t>
  </si>
  <si>
    <t>Betragtningsperiode</t>
  </si>
  <si>
    <t>Resultater</t>
  </si>
  <si>
    <t>år</t>
  </si>
  <si>
    <t>PROJEKT TITEL</t>
  </si>
  <si>
    <t>GWP u. usikkerhedsfaktor</t>
  </si>
  <si>
    <t>GWP m. usikkerhedsfaktor</t>
  </si>
  <si>
    <t>(In kl. usikkerhedsfaktor)</t>
  </si>
  <si>
    <r>
      <t>m</t>
    </r>
    <r>
      <rPr>
        <vertAlign val="superscript"/>
        <sz val="11"/>
        <color theme="1"/>
        <rFont val="Arial"/>
        <family val="2"/>
      </rPr>
      <t>2</t>
    </r>
  </si>
  <si>
    <r>
      <t>CO</t>
    </r>
    <r>
      <rPr>
        <vertAlign val="sub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-eq./m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/år</t>
    </r>
  </si>
  <si>
    <t>Usikkerhedsfaktor på bygningsdele</t>
  </si>
  <si>
    <t>Udledning bygningsdele</t>
  </si>
  <si>
    <t>Udledning drift</t>
  </si>
  <si>
    <t>21 / Prod. / Træ / Thermowood Sature</t>
  </si>
  <si>
    <t>21 / Gen. / Beton 150 mm. / Traditionel Teglsten</t>
  </si>
  <si>
    <t>23 / Gen. / Træelement / Træbeton, Trægulv strøer</t>
  </si>
  <si>
    <t>13 / Gen. / Beton / Trægulv strøer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</si>
</sst>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vertAlign val="subscript"/>
      <sz val="11"/>
      <color theme="1"/>
      <name val="Arial"/>
      <family val="2"/>
    </font>
    <font>
      <sz val="8"/>
      <color theme="1"/>
      <name val="Arial"/>
      <family val="2"/>
    </font>
    <font>
      <b/>
      <sz val="6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2" fontId="2" fillId="0" borderId="0" xfId="0" applyNumberFormat="1" applyFont="1"/>
    <xf numFmtId="2" fontId="8" fillId="2" borderId="1" xfId="0" applyNumberFormat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Vinduer, Døre &amp; Glasfacader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Sammenligning!$M$41:$M$48</c:f>
              <c:strCache>
                <c:ptCount val="6"/>
                <c:pt idx="0">
                  <c:v>31 / Gen. / Udvendig / Dør, alu</c:v>
                </c:pt>
                <c:pt idx="1">
                  <c:v>32 / Gen. / Indvendig / Dør, træ</c:v>
                </c:pt>
                <c:pt idx="2">
                  <c:v>32 / Gen. / Indvendig / Glasdør, træ</c:v>
                </c:pt>
                <c:pt idx="3">
                  <c:v>32 / Gen. / Indvendig / Glasdør, træ</c:v>
                </c:pt>
                <c:pt idx="4">
                  <c:v>31 / Gen. / Udvendig / Dør, alu</c:v>
                </c:pt>
                <c:pt idx="5">
                  <c:v>31 / Gen. / Udvendig / Dør, alu</c:v>
                </c:pt>
              </c:strCache>
            </c:strRef>
          </c:cat>
          <c:val>
            <c:numRef>
              <c:f>Sammenligning!$N$41:$N$48</c:f>
              <c:numCache>
                <c:formatCode>General</c:formatCode>
                <c:ptCount val="8"/>
                <c:pt idx="0">
                  <c:v>696.07779200000004</c:v>
                </c:pt>
                <c:pt idx="1">
                  <c:v>255.61071100000001</c:v>
                </c:pt>
                <c:pt idx="2">
                  <c:v>470.37864100000002</c:v>
                </c:pt>
                <c:pt idx="3">
                  <c:v>9919.1615779999993</c:v>
                </c:pt>
                <c:pt idx="4">
                  <c:v>24995.716618999999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2-4B5A-B7FE-DBFB9C4FA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Fundament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Sammenligning!$M$22:$M$25</c:f>
              <c:strCache>
                <c:ptCount val="1"/>
                <c:pt idx="0">
                  <c:v>12 / Gen. / Beton / Linjefundament, 1-5 etager</c:v>
                </c:pt>
              </c:strCache>
            </c:strRef>
          </c:cat>
          <c:val>
            <c:numRef>
              <c:f>Sammenligning!$N$22:$N$25</c:f>
              <c:numCache>
                <c:formatCode>General</c:formatCode>
                <c:ptCount val="4"/>
                <c:pt idx="0">
                  <c:v>170.65612899999999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C-4CDB-B4C5-3EAB47AB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Terrændæk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Sammenligning!$D$22:$D$29</c:f>
              <c:strCache>
                <c:ptCount val="1"/>
                <c:pt idx="0">
                  <c:v>13 / Gen. / Beton / Trægulv strøer</c:v>
                </c:pt>
              </c:strCache>
            </c:strRef>
          </c:cat>
          <c:val>
            <c:numRef>
              <c:f>Sammenligning!$E$22:$E$29</c:f>
              <c:numCache>
                <c:formatCode>General</c:formatCode>
                <c:ptCount val="8"/>
                <c:pt idx="0" formatCode="0.00">
                  <c:v>29652.006009000001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1-4C9C-A7F9-545BDEF53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Dæk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Sammenligning!$D$42:$D$49</c:f>
              <c:strCache>
                <c:ptCount val="1"/>
                <c:pt idx="0">
                  <c:v>23 / Gen. / Træelement / Træbeton, Trægulv strøer</c:v>
                </c:pt>
              </c:strCache>
            </c:strRef>
          </c:cat>
          <c:val>
            <c:numRef>
              <c:f>Sammenligning!$E$42:$E$49</c:f>
              <c:numCache>
                <c:formatCode>General</c:formatCode>
                <c:ptCount val="8"/>
                <c:pt idx="0">
                  <c:v>183.713615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0-4DF3-81FA-6199ACD78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Sammenligning!$M$3:$M$10</c:f>
              <c:strCache>
                <c:ptCount val="1"/>
                <c:pt idx="0">
                  <c:v>27 / Gen. / Præfab. Gitterspær / Tagpap, Nedhængt</c:v>
                </c:pt>
              </c:strCache>
            </c:strRef>
          </c:cat>
          <c:val>
            <c:numRef>
              <c:f>Sammenligning!$N$3:$N$10</c:f>
              <c:numCache>
                <c:formatCode>General</c:formatCode>
                <c:ptCount val="8"/>
                <c:pt idx="0">
                  <c:v>17677.910486000001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A-4B66-9254-3E278041C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Yder- &amp; Indervæg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Sammenligning!$D$3:$D$10</c:f>
              <c:strCache>
                <c:ptCount val="3"/>
                <c:pt idx="0">
                  <c:v>22 / Gen. / Træ / Ikke Bærende / Gips 2 Lags</c:v>
                </c:pt>
                <c:pt idx="1">
                  <c:v>21 / Prod. / Træ / Thermowood Sature</c:v>
                </c:pt>
                <c:pt idx="2">
                  <c:v>21 / Gen. / Beton 150 mm. / Traditionel Teglsten</c:v>
                </c:pt>
              </c:strCache>
            </c:strRef>
          </c:cat>
          <c:val>
            <c:numRef>
              <c:f>Sammenligning!$E$3:$E$10</c:f>
              <c:numCache>
                <c:formatCode>General</c:formatCode>
                <c:ptCount val="8"/>
                <c:pt idx="0" formatCode="0.00">
                  <c:v>3246.446958</c:v>
                </c:pt>
                <c:pt idx="1">
                  <c:v>14231.865513999999</c:v>
                </c:pt>
                <c:pt idx="2">
                  <c:v>134.721442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7-4161-B35C-92743629A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Vinduer, Døre &amp; Glasfacader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'Vinduer, Døre, Glasfacader'!$C$1</c:f>
              <c:strCache>
                <c:ptCount val="1"/>
                <c:pt idx="0">
                  <c:v>GWP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'Vinduer, Døre, Glasfacader'!$A$2:$A$7</c:f>
              <c:strCache>
                <c:ptCount val="6"/>
                <c:pt idx="0">
                  <c:v>31 / Gen. / Udvendig / Dør, alu</c:v>
                </c:pt>
                <c:pt idx="1">
                  <c:v>32 / Gen. / Indvendig / Dør, træ</c:v>
                </c:pt>
                <c:pt idx="2">
                  <c:v>32 / Gen. / Indvendig / Glasdør, træ</c:v>
                </c:pt>
                <c:pt idx="3">
                  <c:v>32 / Gen. / Indvendig / Glasdør, træ</c:v>
                </c:pt>
                <c:pt idx="4">
                  <c:v>31 / Gen. / Udvendig / Dør, alu</c:v>
                </c:pt>
                <c:pt idx="5">
                  <c:v>31 / Gen. / Udvendig / Dør, alu</c:v>
                </c:pt>
              </c:strCache>
            </c:strRef>
          </c:cat>
          <c:val>
            <c:numRef>
              <c:f>'Vinduer, Døre, Glasfacader'!$C$2:$C$7</c:f>
              <c:numCache>
                <c:formatCode>0.00</c:formatCode>
                <c:ptCount val="6"/>
                <c:pt idx="0">
                  <c:v>696.07779200000004</c:v>
                </c:pt>
                <c:pt idx="1">
                  <c:v>255.61071100000001</c:v>
                </c:pt>
                <c:pt idx="2">
                  <c:v>470.37864100000002</c:v>
                </c:pt>
                <c:pt idx="3">
                  <c:v>0</c:v>
                </c:pt>
                <c:pt idx="4">
                  <c:v>9919.1615779999993</c:v>
                </c:pt>
                <c:pt idx="5">
                  <c:v>24995.716618999999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8-4260-BDDF-C47E2EAB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052656"/>
        <c:axId val="1109985103"/>
      </c:barChart>
      <c:catAx>
        <c:axId val="12560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9985103"/>
        <c:crosses val="autoZero"/>
        <c:auto val="1"/>
        <c:lblAlgn val="ctr"/>
        <c:lblOffset val="100"/>
        <c:noMultiLvlLbl val="0"/>
      </c:catAx>
      <c:valAx>
        <c:axId val="11099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GWP [CO2-eq.]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2560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39370</xdr:colOff>
      <xdr:row>39</xdr:row>
      <xdr:rowOff>158750</xdr:rowOff>
    </xdr:from>
    <xdr:to>
      <xdr:col>20</xdr:col>
      <xdr:colOff>63500</xdr:colOff>
      <xdr:row>58</xdr:row>
      <xdr:rowOff>71120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BAD51A36-D4D5-403B-9D4F-F11C0E426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21</xdr:row>
      <xdr:rowOff>0</xdr:rowOff>
    </xdr:from>
    <xdr:to>
      <xdr:col>20</xdr:col>
      <xdr:colOff>7620</xdr:colOff>
      <xdr:row>39</xdr:row>
      <xdr:rowOff>7620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645EE238-455B-4395-BA11-A4638F398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7620</xdr:colOff>
      <xdr:row>21</xdr:row>
      <xdr:rowOff>0</xdr:rowOff>
    </xdr:from>
    <xdr:to>
      <xdr:col>11</xdr:col>
      <xdr:colOff>7620</xdr:colOff>
      <xdr:row>39</xdr:row>
      <xdr:rowOff>7620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B35D69D2-4DC2-4D31-BA8D-237EC756E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531495</xdr:colOff>
      <xdr:row>40</xdr:row>
      <xdr:rowOff>15875</xdr:rowOff>
    </xdr:from>
    <xdr:to>
      <xdr:col>10</xdr:col>
      <xdr:colOff>600710</xdr:colOff>
      <xdr:row>58</xdr:row>
      <xdr:rowOff>23495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DE5449B3-2475-4286-8800-889925694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7620</xdr:colOff>
      <xdr:row>2</xdr:row>
      <xdr:rowOff>0</xdr:rowOff>
    </xdr:from>
    <xdr:to>
      <xdr:col>20</xdr:col>
      <xdr:colOff>7620</xdr:colOff>
      <xdr:row>20</xdr:row>
      <xdr:rowOff>7620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F63FBC0D-B4D5-4312-8850-34C010C5E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7620</xdr:colOff>
      <xdr:row>2</xdr:row>
      <xdr:rowOff>0</xdr:rowOff>
    </xdr:from>
    <xdr:to>
      <xdr:col>11</xdr:col>
      <xdr:colOff>7620</xdr:colOff>
      <xdr:row>20</xdr:row>
      <xdr:rowOff>7620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CF6C22CD-D27F-415A-AEAC-C80EBB34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11</xdr:row>
      <xdr:rowOff>133350</xdr:rowOff>
    </xdr:from>
    <xdr:to>
      <xdr:col>16</xdr:col>
      <xdr:colOff>571500</xdr:colOff>
      <xdr:row>26</xdr:row>
      <xdr:rowOff>19050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A282C5CB-0C97-3EF8-5BF7-1FC486C4D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46"/>
  <sheetViews>
    <sheetView tabSelected="1" zoomScale="70" zoomScaleNormal="70" workbookViewId="0">
      <selection activeCell="B52" sqref="B52"/>
    </sheetView>
  </sheetViews>
  <sheetFormatPr defaultRowHeight="15" x14ac:dyDescent="0.25"/>
  <cols>
    <col min="1" max="1" width="29.7109375" customWidth="1"/>
    <col min="2" max="2" width="16" customWidth="1"/>
    <col min="3" max="3" width="8.42578125" customWidth="1"/>
    <col min="4" max="5" width="9.42578125" customWidth="1"/>
    <col min="12" max="12" width="3.28515625" customWidth="1"/>
    <col min="13" max="13" width="9.42578125" bestFit="1" customWidth="1"/>
    <col min="21" max="21" width="3.28515625" customWidth="1"/>
    <col min="22" max="23" width="9.42578125" bestFit="1" customWidth="1"/>
  </cols>
  <sheetData>
    <row r="1" spans="1:14" ht="26.25" x14ac:dyDescent="0.4">
      <c r="A1" s="2" t="s">
        <v>15</v>
      </c>
      <c r="B1" s="3"/>
    </row>
    <row r="2" spans="1:14" x14ac:dyDescent="0.25">
      <c r="A2" s="3"/>
      <c r="B2" s="3"/>
    </row>
    <row r="3" spans="1:14" ht="15.75" x14ac:dyDescent="0.25">
      <c r="A3" s="4" t="s">
        <v>12</v>
      </c>
      <c r="B3" s="5"/>
      <c r="D3" t="str" cm="1">
        <f t="array" ref="D3:D5">_xlfn._xlws.FILTER('Yder- &amp; Indervægge'!A2:A32,ISTEXT('Yder- &amp; Indervægge'!A2:A32))</f>
        <v>22 / Gen. / Træ / Ikke Bærende / Gips 2 Lags</v>
      </c>
      <c r="E3" s="1" cm="1">
        <f t="array" ref="E3:E5">_xlfn._xlws.FILTER('Yder- &amp; Indervægge'!C2:C32,ISNUMBER('Yder- &amp; Indervægge'!C2:C32))</f>
        <v>3246.446958</v>
      </c>
      <c r="M3" t="str" cm="1">
        <f t="array" ref="M3">_xlfn._xlws.FILTER(Tag!A2:A32,ISTEXT(Tag!A2:A32))</f>
        <v>27 / Gen. / Præfab. Gitterspær / Tagpap, Nedhængt</v>
      </c>
      <c r="N3" cm="1">
        <f t="array" ref="N3">_xlfn._xlws.FILTER(Tag!C2:C32,ISNUMBER(Tag!C2:C32))</f>
        <v>17677.910486000001</v>
      </c>
    </row>
    <row r="4" spans="1:14" x14ac:dyDescent="0.25">
      <c r="A4" s="3" t="s">
        <v>7</v>
      </c>
      <c r="B4" s="3"/>
      <c r="D4" t="str">
        <v>21 / Prod. / Træ / Thermowood Sature</v>
      </c>
      <c r="E4">
        <v>14231.865513999999</v>
      </c>
    </row>
    <row r="5" spans="1:14" ht="17.25" x14ac:dyDescent="0.25">
      <c r="A5" s="3">
        <v>300</v>
      </c>
      <c r="B5" s="3" t="s">
        <v>19</v>
      </c>
      <c r="D5" t="str">
        <v>21 / Gen. / Beton 150 mm. / Traditionel Teglsten</v>
      </c>
      <c r="E5">
        <v>134.721442</v>
      </c>
    </row>
    <row r="6" spans="1:14" x14ac:dyDescent="0.25">
      <c r="A6" s="3"/>
      <c r="B6" s="3"/>
    </row>
    <row r="7" spans="1:14" x14ac:dyDescent="0.25">
      <c r="A7" s="3" t="s">
        <v>12</v>
      </c>
      <c r="B7" s="3"/>
    </row>
    <row r="8" spans="1:14" x14ac:dyDescent="0.25">
      <c r="A8" s="3">
        <v>50</v>
      </c>
      <c r="B8" s="3" t="s">
        <v>14</v>
      </c>
    </row>
    <row r="9" spans="1:14" x14ac:dyDescent="0.25">
      <c r="A9" s="3"/>
      <c r="B9" s="3"/>
    </row>
    <row r="10" spans="1:14" x14ac:dyDescent="0.25">
      <c r="A10" s="3" t="s">
        <v>21</v>
      </c>
      <c r="B10" s="3"/>
    </row>
    <row r="11" spans="1:14" x14ac:dyDescent="0.25">
      <c r="A11" s="3">
        <v>1.1000000000000001</v>
      </c>
      <c r="B11" s="3"/>
    </row>
    <row r="12" spans="1:14" x14ac:dyDescent="0.25">
      <c r="A12" s="3"/>
      <c r="B12" s="3"/>
    </row>
    <row r="13" spans="1:14" x14ac:dyDescent="0.25">
      <c r="A13" s="3"/>
      <c r="B13" s="3"/>
    </row>
    <row r="14" spans="1:14" ht="15.75" x14ac:dyDescent="0.25">
      <c r="A14" s="4" t="s">
        <v>13</v>
      </c>
      <c r="B14" s="5"/>
    </row>
    <row r="15" spans="1:14" x14ac:dyDescent="0.25">
      <c r="A15" s="3" t="s">
        <v>23</v>
      </c>
      <c r="B15" s="3"/>
    </row>
    <row r="16" spans="1:14" ht="18.75" x14ac:dyDescent="0.35">
      <c r="A16" s="3">
        <v>2.67</v>
      </c>
      <c r="B16" s="3" t="s">
        <v>20</v>
      </c>
    </row>
    <row r="17" spans="1:14" x14ac:dyDescent="0.25">
      <c r="A17" s="3"/>
      <c r="B17" s="3"/>
    </row>
    <row r="18" spans="1:14" x14ac:dyDescent="0.25">
      <c r="A18" s="3" t="s">
        <v>22</v>
      </c>
      <c r="B18" s="3"/>
    </row>
    <row r="19" spans="1:14" ht="18.75" x14ac:dyDescent="0.35">
      <c r="A19" s="6">
        <v>7.359051</v>
      </c>
      <c r="B19" s="3" t="s">
        <v>20</v>
      </c>
    </row>
    <row r="20" spans="1:14" x14ac:dyDescent="0.25">
      <c r="A20" s="3"/>
      <c r="B20" s="3"/>
    </row>
    <row r="21" spans="1:14" x14ac:dyDescent="0.25">
      <c r="A21" s="3" t="s">
        <v>16</v>
      </c>
      <c r="B21" s="3"/>
    </row>
    <row r="22" spans="1:14" ht="18.75" x14ac:dyDescent="0.35">
      <c r="A22" s="6">
        <v>10.029051000000001</v>
      </c>
      <c r="B22" s="3" t="s">
        <v>20</v>
      </c>
      <c r="D22" t="str" cm="1">
        <f t="array" ref="D22">_xlfn._xlws.FILTER(Terrændæk!A2:A32,ISTEXT(Terrændæk!A2:A32))</f>
        <v>13 / Gen. / Beton / Trægulv strøer</v>
      </c>
      <c r="E22" s="1" cm="1">
        <f t="array" ref="E22">_xlfn._xlws.FILTER(Terrændæk!C2:C32,ISNUMBER(Terrændæk!C2:C32))</f>
        <v>29652.006009000001</v>
      </c>
      <c r="M22" t="str" cm="1">
        <f t="array" ref="M22">_xlfn._xlws.FILTER(Fundament!A2:A32,ISTEXT(Fundament!A2:A32))</f>
        <v>12 / Gen. / Beton / Linjefundament, 1-5 etager</v>
      </c>
      <c r="N22" cm="1">
        <f t="array" ref="N22">_xlfn._xlws.FILTER(Fundament!C2:C32,ISNUMBER(Fundament!C2:C32))</f>
        <v>170.65612899999999</v>
      </c>
    </row>
    <row r="23" spans="1:14" x14ac:dyDescent="0.25">
      <c r="A23" s="3"/>
      <c r="B23" s="3"/>
    </row>
    <row r="24" spans="1:14" x14ac:dyDescent="0.25">
      <c r="A24" s="3" t="s">
        <v>17</v>
      </c>
      <c r="B24" s="3"/>
    </row>
    <row r="25" spans="1:14" ht="18.75" x14ac:dyDescent="0.35">
      <c r="A25" s="6">
        <v>10.764956</v>
      </c>
      <c r="B25" s="3" t="s">
        <v>20</v>
      </c>
    </row>
    <row r="26" spans="1:14" x14ac:dyDescent="0.25">
      <c r="A26" s="3"/>
      <c r="B26" s="3"/>
    </row>
    <row r="27" spans="1:14" x14ac:dyDescent="0.25">
      <c r="A27" s="3"/>
      <c r="B27" s="3"/>
    </row>
    <row r="28" spans="1:14" x14ac:dyDescent="0.25">
      <c r="A28" s="3"/>
      <c r="B28" s="3"/>
    </row>
    <row r="29" spans="1:14" x14ac:dyDescent="0.25">
      <c r="A29" s="3"/>
      <c r="B29" s="3"/>
    </row>
    <row r="30" spans="1:14" x14ac:dyDescent="0.25">
      <c r="A30" s="7">
        <f>A25</f>
        <v>10.764956</v>
      </c>
      <c r="B30" s="8"/>
    </row>
    <row r="31" spans="1:14" x14ac:dyDescent="0.25">
      <c r="A31" s="9"/>
      <c r="B31" s="10"/>
    </row>
    <row r="32" spans="1:14" x14ac:dyDescent="0.25">
      <c r="A32" s="9"/>
      <c r="B32" s="10"/>
    </row>
    <row r="33" spans="1:14" x14ac:dyDescent="0.25">
      <c r="A33" s="9"/>
      <c r="B33" s="10"/>
    </row>
    <row r="34" spans="1:14" x14ac:dyDescent="0.25">
      <c r="A34" s="9"/>
      <c r="B34" s="10"/>
    </row>
    <row r="35" spans="1:14" x14ac:dyDescent="0.25">
      <c r="A35" s="9"/>
      <c r="B35" s="10"/>
    </row>
    <row r="36" spans="1:14" x14ac:dyDescent="0.25">
      <c r="A36" s="9"/>
      <c r="B36" s="10"/>
    </row>
    <row r="37" spans="1:14" x14ac:dyDescent="0.25">
      <c r="A37" s="9"/>
      <c r="B37" s="10"/>
    </row>
    <row r="38" spans="1:14" x14ac:dyDescent="0.25">
      <c r="A38" s="9"/>
      <c r="B38" s="10"/>
    </row>
    <row r="39" spans="1:14" x14ac:dyDescent="0.25">
      <c r="A39" s="11" t="str">
        <f>B25</f>
        <v>CO2-eq./m2/år</v>
      </c>
      <c r="B39" s="12"/>
    </row>
    <row r="40" spans="1:14" x14ac:dyDescent="0.25">
      <c r="A40" s="13" t="s">
        <v>18</v>
      </c>
      <c r="B40" s="14"/>
    </row>
    <row r="41" spans="1:14" x14ac:dyDescent="0.25">
      <c r="M41" t="str" cm="1">
        <f t="array" ref="M41:M46">_xlfn._xlws.FILTER('Vinduer, Døre, Glasfacader'!A2:A32,ISTEXT('Vinduer, Døre, Glasfacader'!A2:A32))</f>
        <v>31 / Gen. / Udvendig / Dør, alu</v>
      </c>
      <c r="N41" cm="1">
        <f t="array" ref="N41:N45">_xlfn._xlws.FILTER('Vinduer, Døre, Glasfacader'!C2:C32,ISNUMBER('Vinduer, Døre, Glasfacader'!C2:C32))</f>
        <v>696.07779200000004</v>
      </c>
    </row>
    <row r="42" spans="1:14" x14ac:dyDescent="0.25">
      <c r="D42" t="str" cm="1">
        <f t="array" ref="D42">_xlfn._xlws.FILTER(Dæk!A2:A32,ISTEXT(Dæk!A2:A32))</f>
        <v>23 / Gen. / Træelement / Træbeton, Trægulv strøer</v>
      </c>
      <c r="E42" cm="1">
        <f t="array" ref="E42">_xlfn._xlws.FILTER(Dæk!C2:C32,ISNUMBER(Dæk!C2:C32))</f>
        <v>183.713615</v>
      </c>
      <c r="M42" t="str">
        <v>32 / Gen. / Indvendig / Dør, træ</v>
      </c>
      <c r="N42">
        <v>255.61071100000001</v>
      </c>
    </row>
    <row r="43" spans="1:14" x14ac:dyDescent="0.25">
      <c r="M43" t="str">
        <v>32 / Gen. / Indvendig / Glasdør, træ</v>
      </c>
      <c r="N43">
        <v>470.37864100000002</v>
      </c>
    </row>
    <row r="44" spans="1:14" x14ac:dyDescent="0.25">
      <c r="M44" t="str">
        <v>32 / Gen. / Indvendig / Glasdør, træ</v>
      </c>
      <c r="N44">
        <v>9919.1615779999993</v>
      </c>
    </row>
    <row r="45" spans="1:14" x14ac:dyDescent="0.25">
      <c r="M45" t="str">
        <v>31 / Gen. / Udvendig / Dør, alu</v>
      </c>
      <c r="N45">
        <v>24995.716618999999</v>
      </c>
    </row>
    <row r="46" spans="1:14" x14ac:dyDescent="0.25">
      <c r="M46" t="str">
        <v>31 / Gen. / Udvendig / Dør, alu</v>
      </c>
    </row>
  </sheetData>
  <mergeCells count="3">
    <mergeCell ref="A30:B38"/>
    <mergeCell ref="A39:B39"/>
    <mergeCell ref="A40:B4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40"/>
  <sheetViews>
    <sheetView workbookViewId="0">
      <selection activeCell="B2" sqref="B2"/>
    </sheetView>
  </sheetViews>
  <sheetFormatPr defaultRowHeight="15" x14ac:dyDescent="0.25"/>
  <cols>
    <col min="1" max="1" width="16.7109375" customWidth="1"/>
    <col min="2" max="2" width="10.7109375" customWidth="1"/>
    <col min="3" max="3" width="14.7109375" customWidth="1"/>
  </cols>
  <sheetData>
    <row r="1" spans="1:3" x14ac:dyDescent="0.25">
      <c r="A1" t="s">
        <v>0</v>
      </c>
      <c r="B1" t="s">
        <v>8</v>
      </c>
      <c r="C1" t="s">
        <v>2</v>
      </c>
    </row>
    <row r="2" spans="1:3" x14ac:dyDescent="0.25">
      <c r="A2" t="s">
        <v>1</v>
      </c>
      <c r="B2" s="1">
        <v>203.793845</v>
      </c>
      <c r="C2" s="1">
        <v>3246.446958</v>
      </c>
    </row>
    <row r="3" spans="1:3" x14ac:dyDescent="0.25">
      <c r="A3" t="s">
        <v>24</v>
      </c>
      <c r="B3" s="1">
        <v>513.72845099999995</v>
      </c>
      <c r="C3" s="1">
        <v>14231.865513999999</v>
      </c>
    </row>
    <row r="4" spans="1:3" x14ac:dyDescent="0.25">
      <c r="A4" t="s">
        <v>25</v>
      </c>
      <c r="B4" s="1" t="s">
        <v>25</v>
      </c>
      <c r="C4" s="1">
        <v>134.721442</v>
      </c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C4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41"/>
  <sheetViews>
    <sheetView workbookViewId="0">
      <selection activeCell="E18" sqref="E18"/>
    </sheetView>
  </sheetViews>
  <sheetFormatPr defaultRowHeight="15" x14ac:dyDescent="0.25"/>
  <cols>
    <col min="1" max="1" width="16.7109375" customWidth="1"/>
    <col min="2" max="2" width="10.7109375" customWidth="1"/>
    <col min="3" max="3" width="14.7109375" customWidth="1"/>
  </cols>
  <sheetData>
    <row r="1" spans="1:3" x14ac:dyDescent="0.25">
      <c r="A1" t="s">
        <v>0</v>
      </c>
      <c r="B1" t="s">
        <v>8</v>
      </c>
      <c r="C1" t="s">
        <v>2</v>
      </c>
    </row>
    <row r="2" spans="1:3" x14ac:dyDescent="0.25">
      <c r="A2" t="s">
        <v>3</v>
      </c>
      <c r="B2" s="1">
        <v>243.92997099999999</v>
      </c>
      <c r="C2" s="1">
        <v>17677.910486000001</v>
      </c>
    </row>
    <row r="3" spans="1:3" x14ac:dyDescent="0.25">
      <c r="B3" s="1"/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41"/>
  <sheetViews>
    <sheetView workbookViewId="0">
      <selection activeCell="K6" sqref="K6"/>
    </sheetView>
  </sheetViews>
  <sheetFormatPr defaultRowHeight="15" x14ac:dyDescent="0.25"/>
  <cols>
    <col min="1" max="1" width="16.7109375" customWidth="1"/>
    <col min="2" max="2" width="10.7109375" customWidth="1"/>
    <col min="3" max="3" width="14.7109375" customWidth="1"/>
  </cols>
  <sheetData>
    <row r="1" spans="1:3" x14ac:dyDescent="0.25">
      <c r="A1" t="s">
        <v>0</v>
      </c>
      <c r="B1" t="s">
        <v>8</v>
      </c>
      <c r="C1" t="s">
        <v>2</v>
      </c>
    </row>
    <row r="2" spans="1:3" x14ac:dyDescent="0.25">
      <c r="A2" t="s">
        <v>26</v>
      </c>
      <c r="B2" s="1">
        <v>4684.0261469999996</v>
      </c>
      <c r="C2" s="1">
        <v>183.713615</v>
      </c>
    </row>
    <row r="3" spans="1:3" x14ac:dyDescent="0.25">
      <c r="B3" s="1"/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41"/>
  <sheetViews>
    <sheetView workbookViewId="0">
      <selection activeCell="E20" sqref="E20"/>
    </sheetView>
  </sheetViews>
  <sheetFormatPr defaultRowHeight="15" x14ac:dyDescent="0.25"/>
  <cols>
    <col min="1" max="1" width="16.7109375" customWidth="1"/>
    <col min="2" max="2" width="10.7109375" customWidth="1"/>
    <col min="3" max="3" width="14.7109375" customWidth="1"/>
  </cols>
  <sheetData>
    <row r="1" spans="1:3" x14ac:dyDescent="0.25">
      <c r="A1" t="s">
        <v>0</v>
      </c>
      <c r="B1" t="s">
        <v>8</v>
      </c>
      <c r="C1" t="s">
        <v>2</v>
      </c>
    </row>
    <row r="2" spans="1:3" x14ac:dyDescent="0.25">
      <c r="A2" t="s">
        <v>27</v>
      </c>
      <c r="B2" s="1">
        <v>258.61757699999998</v>
      </c>
      <c r="C2" s="1">
        <v>29652.006009000001</v>
      </c>
    </row>
    <row r="3" spans="1:3" x14ac:dyDescent="0.25">
      <c r="B3" s="1"/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41"/>
  <sheetViews>
    <sheetView workbookViewId="0">
      <selection activeCell="E24" sqref="E24"/>
    </sheetView>
  </sheetViews>
  <sheetFormatPr defaultRowHeight="15" x14ac:dyDescent="0.25"/>
  <cols>
    <col min="1" max="2" width="16.7109375" customWidth="1"/>
    <col min="3" max="3" width="14.7109375" customWidth="1"/>
  </cols>
  <sheetData>
    <row r="1" spans="1:3" x14ac:dyDescent="0.25">
      <c r="A1" t="s">
        <v>0</v>
      </c>
      <c r="B1" t="s">
        <v>9</v>
      </c>
      <c r="C1" t="s">
        <v>2</v>
      </c>
    </row>
    <row r="2" spans="1:3" x14ac:dyDescent="0.25">
      <c r="A2" t="s">
        <v>4</v>
      </c>
      <c r="B2" s="1">
        <v>15160.761552</v>
      </c>
      <c r="C2" s="1">
        <v>170.65612899999999</v>
      </c>
    </row>
    <row r="3" spans="1:3" x14ac:dyDescent="0.25">
      <c r="B3" s="1"/>
      <c r="C3" s="1"/>
    </row>
    <row r="4" spans="1:3" x14ac:dyDescent="0.25">
      <c r="B4" s="1"/>
      <c r="C4" s="1"/>
    </row>
    <row r="5" spans="1:3" x14ac:dyDescent="0.25">
      <c r="B5" s="1"/>
      <c r="C5" s="1"/>
    </row>
    <row r="6" spans="1:3" x14ac:dyDescent="0.25">
      <c r="B6" s="1"/>
      <c r="C6" s="1"/>
    </row>
    <row r="7" spans="1:3" x14ac:dyDescent="0.25">
      <c r="B7" s="1"/>
      <c r="C7" s="1"/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41"/>
  <sheetViews>
    <sheetView workbookViewId="0">
      <selection activeCell="G10" sqref="G10"/>
    </sheetView>
  </sheetViews>
  <sheetFormatPr defaultRowHeight="15" x14ac:dyDescent="0.25"/>
  <cols>
    <col min="1" max="2" width="16.7109375" customWidth="1"/>
    <col min="3" max="3" width="14.7109375" customWidth="1"/>
    <col min="4" max="4" width="20.42578125" bestFit="1" customWidth="1"/>
  </cols>
  <sheetData>
    <row r="1" spans="1:3" x14ac:dyDescent="0.25">
      <c r="A1" t="s">
        <v>0</v>
      </c>
      <c r="B1" t="s">
        <v>10</v>
      </c>
      <c r="C1" t="s">
        <v>2</v>
      </c>
    </row>
    <row r="2" spans="1:3" x14ac:dyDescent="0.25">
      <c r="A2" t="s">
        <v>11</v>
      </c>
      <c r="B2" s="1">
        <v>2</v>
      </c>
      <c r="C2" s="1">
        <v>696.07779200000004</v>
      </c>
    </row>
    <row r="3" spans="1:3" x14ac:dyDescent="0.25">
      <c r="A3" t="s">
        <v>5</v>
      </c>
      <c r="B3" s="1">
        <v>11</v>
      </c>
      <c r="C3" s="1">
        <v>255.61071100000001</v>
      </c>
    </row>
    <row r="4" spans="1:3" x14ac:dyDescent="0.25">
      <c r="A4" t="s">
        <v>6</v>
      </c>
      <c r="B4" s="1">
        <v>3</v>
      </c>
      <c r="C4" s="1">
        <v>470.37864100000002</v>
      </c>
    </row>
    <row r="5" spans="1:3" x14ac:dyDescent="0.25">
      <c r="A5" t="s">
        <v>6</v>
      </c>
      <c r="B5" s="1">
        <v>156.79288</v>
      </c>
      <c r="C5" s="1" t="s">
        <v>6</v>
      </c>
    </row>
    <row r="6" spans="1:3" x14ac:dyDescent="0.25">
      <c r="A6" t="s">
        <v>11</v>
      </c>
      <c r="B6" s="1">
        <v>63.262832000000003</v>
      </c>
      <c r="C6" s="1">
        <v>9919.1615779999993</v>
      </c>
    </row>
    <row r="7" spans="1:3" x14ac:dyDescent="0.25">
      <c r="A7" t="s">
        <v>11</v>
      </c>
      <c r="B7" s="1">
        <v>159.41869600000001</v>
      </c>
      <c r="C7" s="1">
        <v>24995.716618999999</v>
      </c>
    </row>
    <row r="8" spans="1:3" x14ac:dyDescent="0.25">
      <c r="B8" s="1"/>
      <c r="C8" s="1"/>
    </row>
    <row r="9" spans="1:3" x14ac:dyDescent="0.25">
      <c r="B9" s="1"/>
      <c r="C9" s="1"/>
    </row>
    <row r="10" spans="1:3" x14ac:dyDescent="0.25">
      <c r="B10" s="1"/>
      <c r="C10" s="1"/>
    </row>
    <row r="11" spans="1:3" x14ac:dyDescent="0.25">
      <c r="B11" s="1"/>
      <c r="C11" s="1"/>
    </row>
    <row r="12" spans="1:3" x14ac:dyDescent="0.25">
      <c r="B12" s="1"/>
      <c r="C12" s="1"/>
    </row>
    <row r="13" spans="1:3" x14ac:dyDescent="0.25">
      <c r="B13" s="1"/>
      <c r="C13" s="1"/>
    </row>
    <row r="14" spans="1:3" x14ac:dyDescent="0.25">
      <c r="B14" s="1"/>
      <c r="C14" s="1"/>
    </row>
    <row r="15" spans="1:3" x14ac:dyDescent="0.25">
      <c r="B15" s="1"/>
      <c r="C15" s="1"/>
    </row>
    <row r="16" spans="1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</vt:i4>
      </vt:variant>
    </vt:vector>
  </HeadingPairs>
  <TitlesOfParts>
    <vt:vector size="7" baseType="lpstr">
      <vt:lpstr>Sammenligning</vt:lpstr>
      <vt:lpstr>Yder- &amp; Indervægge</vt:lpstr>
      <vt:lpstr>Tag</vt:lpstr>
      <vt:lpstr>Dæk</vt:lpstr>
      <vt:lpstr>Terrændæk</vt:lpstr>
      <vt:lpstr>Fundament</vt:lpstr>
      <vt:lpstr>Vinduer, Døre, Glasfacader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Lasse Haaning Friis</dc:creator>
  <cp:lastModifiedBy>Lasse Haaning Friis</cp:lastModifiedBy>
  <dcterms:created xsi:type="dcterms:W3CDTF">2024-02-27T12:31:00Z</dcterms:created>
  <dcterms:modified xsi:type="dcterms:W3CDTF">2024-04-09T19:02:30Z</dcterms:modified>
</cp:coreProperties>
</file>